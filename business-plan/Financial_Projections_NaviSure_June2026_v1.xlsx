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_Build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Metrics_KPI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Balance_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4"/>
    </font>
    <font>
      <color rgb="000000FF"/>
    </font>
    <font>
      <i val="1"/>
      <sz val="9"/>
    </font>
    <font>
      <b val="1"/>
      <sz val="11"/>
    </font>
    <font>
      <color rgb="00000000"/>
    </font>
    <font>
      <sz val="9"/>
    </font>
    <font>
      <i val="1"/>
    </font>
    <font>
      <i val="1"/>
      <color rgb="00808080"/>
      <sz val="8"/>
    </font>
    <font>
      <i val="1"/>
      <sz val="8"/>
    </font>
    <font>
      <b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4" fillId="4" borderId="0" pivotButton="0" quotePrefix="0" xfId="0"/>
    <xf numFmtId="0" fontId="5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wrapText="1"/>
    </xf>
    <xf numFmtId="0" fontId="8" fillId="0" borderId="1" pivotButton="0" quotePrefix="0" xfId="0"/>
    <xf numFmtId="0" fontId="9" fillId="0" borderId="1" pivotButton="0" quotePrefix="0" xfId="0"/>
    <xf numFmtId="0" fontId="10" fillId="2" borderId="0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Projected Gross Revenue by Year (B4 scenario-driven)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'P&amp;L'!$B$3:$D$3</f>
            </numRef>
          </cat>
          <val>
            <numRef>
              <f>'P&amp;L'!$B$6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'P&amp;L'!$B$3:$D$3</f>
            </numRef>
          </cat>
          <val>
            <numRef>
              <f>'P&amp;L'!$C$6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'P&amp;L'!$B$3:$D$3</f>
            </numRef>
          </cat>
          <val>
            <numRef>
              <f>'P&amp;L'!$D$6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8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NaviSure Consulting + NaviSsurance - Financial Model Assumptions (June 2026)</t>
        </is>
      </c>
    </row>
    <row r="2">
      <c r="A2" s="2" t="inlineStr">
        <is>
          <t>Primary: Services growth to $500k in 36 months using Navi as internal OS / staff replacement. App monetization secondary/optional bonus. All values in USD. Blue + yellow = editable inputs. Formulas drive everything.</t>
        </is>
      </c>
    </row>
    <row r="4">
      <c r="A4" t="inlineStr">
        <is>
          <t>SCENARIO SELECTOR (1=Base, 2=Conservative, 3=Optimistic)</t>
        </is>
      </c>
      <c r="B4" s="3" t="n">
        <v>1</v>
      </c>
      <c r="C4" s="4" t="inlineStr">
        <is>
          <t>Change this to switch multipliers across projections (Base=1, Cons=2, Opt=3)</t>
        </is>
      </c>
    </row>
    <row r="6">
      <c r="A6" s="5" t="inlineStr">
        <is>
          <t>CURRENT BASELINE (Last 12mo, ~May 2025-2026, from founder + roadmap_status)</t>
        </is>
      </c>
    </row>
    <row r="7">
      <c r="A7" s="6" t="inlineStr">
        <is>
          <t>Total Gross Revenue (annualized)</t>
        </is>
      </c>
      <c r="B7" s="3" t="n">
        <v>230000</v>
      </c>
      <c r="C7" s="4" t="inlineStr">
        <is>
          <t>Founder: ~$230k, $208k from Dova (fractional VP RA/QA) + 4 other clients (3 project, 1 spotty hourly)</t>
        </is>
      </c>
    </row>
    <row r="8">
      <c r="A8" s="6" t="inlineStr">
        <is>
          <t># Active Clients (end of period)</t>
        </is>
      </c>
      <c r="B8" s="3" t="n">
        <v>5</v>
      </c>
      <c r="C8" s="4" t="inlineStr">
        <is>
          <t>Heavy concentration risk: Dova ~90%</t>
        </is>
      </c>
    </row>
    <row r="9">
      <c r="A9" s="6" t="inlineStr">
        <is>
          <t>Avg Monthly Business OpEx (excl. variable)</t>
        </is>
      </c>
      <c r="B9" s="3" t="n">
        <v>400</v>
      </c>
      <c r="C9" s="4" t="inlineStr">
        <is>
          <t>Founder: very low $400/mo business expenses; bootstrap comfortable</t>
        </is>
      </c>
    </row>
    <row r="10">
      <c r="A10" s="6" t="inlineStr">
        <is>
          <t>Est. Monthly Personal Draw (owner comp)</t>
        </is>
      </c>
      <c r="B10" s="3" t="n">
        <v>6000</v>
      </c>
      <c r="C10" s="4" t="inlineStr">
        <is>
          <t>Assumed for modeling; not provided</t>
        </is>
      </c>
    </row>
    <row r="11">
      <c r="A11" s="6" t="inlineStr">
        <is>
          <t>Current Billable Utilization (hrs/wk est.)</t>
        </is>
      </c>
      <c r="B11" s="3" t="n">
        <v>22</v>
      </c>
      <c r="C11" s="4" t="inlineStr">
        <is>
          <t>Derived from 70% time on consulting; room for efficiency gains</t>
        </is>
      </c>
    </row>
    <row r="12">
      <c r="A12" s="6" t="inlineStr">
        <is>
          <t>Effective Blended Hourly / Project Realization</t>
        </is>
      </c>
      <c r="B12" s="3" t="n">
        <v>185</v>
      </c>
      <c r="C12" s="4" t="inlineStr">
        <is>
          <t>Implied from revenue / time; specialists charge $250-450/hr (market data)</t>
        </is>
      </c>
    </row>
    <row r="13">
      <c r="A13" s="6" t="inlineStr">
        <is>
          <t>App Infra Monthly Cost (current)</t>
        </is>
      </c>
      <c r="B13" s="3" t="n">
        <v>150</v>
      </c>
      <c r="C13" s="4" t="inlineStr">
        <is>
          <t>xAI + AssemblyAI + local; low; scales with usage</t>
        </is>
      </c>
    </row>
    <row r="14">
      <c r="A14" s="6" t="inlineStr">
        <is>
          <t>App Maturity (Phase 4 % complete est.)</t>
        </is>
      </c>
      <c r="B14" s="3" t="n">
        <v>0.25</v>
      </c>
      <c r="C14" s="4" t="inlineStr">
        <is>
          <t>Per roadmap_status May 2026: Phase1 100%, Phase 2/3 advanced, Phase4 partial (ref injection started)</t>
        </is>
      </c>
    </row>
    <row r="16">
      <c r="A16" s="5" t="inlineStr">
        <is>
          <t>GROWTH DRIVERS &amp; ASSUMPTIONS (36-month horizon to ~Jun 2029)</t>
        </is>
      </c>
    </row>
    <row r="17">
      <c r="A17" s="6" t="inlineStr">
        <is>
          <t>New Clients per Year (Base case)</t>
        </is>
      </c>
      <c r="B17" s="3" t="n">
        <v>2</v>
      </c>
      <c r="C17" s="4" t="inlineStr">
        <is>
          <t>Via systematic bizdev powered by Navi CoS/Intel/Workspace (currently referrals only, no time/strategy)</t>
        </is>
      </c>
    </row>
    <row r="18">
      <c r="A18" s="6" t="inlineStr">
        <is>
          <t>New Clients per Year (Cons)</t>
        </is>
      </c>
      <c r="B18" s="3" t="n">
        <v>1</v>
      </c>
      <c r="C18" s="4" t="inlineStr">
        <is>
          <t>Slower execution, partial app leverage</t>
        </is>
      </c>
    </row>
    <row r="19">
      <c r="A19" s="6" t="inlineStr">
        <is>
          <t>New Clients per Year (Opt)</t>
        </is>
      </c>
      <c r="B19" s="3" t="n">
        <v>3.5</v>
      </c>
      <c r="C19" s="4" t="inlineStr">
        <is>
          <t>Fast adoption, app product traction helps credibility</t>
        </is>
      </c>
    </row>
    <row r="20">
      <c r="A20" s="6" t="inlineStr">
        <is>
          <t>Avg Revenue per New Client (first year)</t>
        </is>
      </c>
      <c r="B20" s="3" t="n">
        <v>45000</v>
      </c>
      <c r="C20" s="4" t="inlineStr">
        <is>
          <t>Mix project $15-50k + some retainers; market supports higher with speed/quality from Navi</t>
        </is>
      </c>
    </row>
    <row r="21">
      <c r="A21" s="6" t="inlineStr">
        <is>
          <t>Retention / Expansion Rate (existing clients)</t>
        </is>
      </c>
      <c r="B21" s="3" t="n">
        <v>0.85</v>
      </c>
      <c r="C21" s="4" t="inlineStr">
        <is>
          <t>High stickiness in reg work; upsell via better delivery</t>
        </is>
      </c>
    </row>
    <row r="22">
      <c r="A22" s="6" t="inlineStr">
        <is>
          <t>Price/Rate Increase (annual)</t>
        </is>
      </c>
      <c r="B22" s="3" t="n">
        <v>0.08</v>
      </c>
      <c r="C22" s="4" t="inlineStr">
        <is>
          <t>Market $250-450/hr specialists; value pricing for speed</t>
        </is>
      </c>
    </row>
    <row r="23">
      <c r="A23" s="6" t="inlineStr">
        <is>
          <t>Utilization Lift from Navi (by mo 12)</t>
        </is>
      </c>
      <c r="B23" s="3" t="n">
        <v>0.2</v>
      </c>
      <c r="C23" s="4" t="inlineStr">
        <is>
          <t>Phase4 completion enables faster drafting/research/planning/billing; target 15-25% capacity gain</t>
        </is>
      </c>
    </row>
    <row r="24">
      <c r="A24" s="6" t="inlineStr">
        <is>
          <t>Utilization Lift from Navi (by mo 24)</t>
        </is>
      </c>
      <c r="B24" s="3" t="n">
        <v>0.3</v>
      </c>
      <c r="C24" s="4" t="inlineStr">
        <is>
          <t>Mature + Phase5 + memory full; plus first hire delegation</t>
        </is>
      </c>
    </row>
    <row r="25">
      <c r="A25" s="6" t="inlineStr">
        <is>
          <t>Marketing / Events / Content Spend (annual)</t>
        </is>
      </c>
      <c r="B25" s="3" t="n">
        <v>8000</v>
      </c>
      <c r="C25" s="4" t="inlineStr">
        <is>
          <t>Conferences (RAPS, MedTech), LinkedIn, minimal ads; low CAC organic + app demos</t>
        </is>
      </c>
    </row>
    <row r="26">
      <c r="A26" s="6" t="inlineStr">
        <is>
          <t>First Hire Timing (month)</t>
        </is>
      </c>
      <c r="B26" s="3" t="n">
        <v>18</v>
      </c>
      <c r="C26" s="4" t="inlineStr">
        <is>
          <t>Junior reg consultant or ops (~$90-110k fully loaded) once $300k+ run-rate + 7+ clients</t>
        </is>
      </c>
    </row>
    <row r="27">
      <c r="A27" s="6" t="inlineStr">
        <is>
          <t>First Hire Annual Cost</t>
        </is>
      </c>
      <c r="B27" s="3" t="n">
        <v>105000</v>
      </c>
      <c r="C27" s="4" t="inlineStr">
        <is>
          <t>Market comp for med device reg specialist</t>
        </is>
      </c>
    </row>
    <row r="28">
      <c r="A28" s="6" t="inlineStr">
        <is>
          <t>App Product Revenue (bonus only, Base)</t>
        </is>
      </c>
      <c r="B28" s="3" t="n">
        <v>0</v>
      </c>
      <c r="C28" s="4" t="inlineStr">
        <is>
          <t>Founder: 100% services; app sales unknown/secondary. Conservative 0 in base</t>
        </is>
      </c>
    </row>
    <row r="29">
      <c r="A29" s="6" t="inlineStr">
        <is>
          <t>App Product Revenue (Opt, from mo 18)</t>
        </is>
      </c>
      <c r="B29" s="3" t="n">
        <v>25000</v>
      </c>
      <c r="C29" s="4" t="inlineStr">
        <is>
          <t>3-5 peer solo licenses @ ~$2k-3k/yr once proven internally</t>
        </is>
      </c>
    </row>
    <row r="30">
      <c r="A30" s="6" t="inlineStr">
        <is>
          <t>Gross Margin - Services</t>
        </is>
      </c>
      <c r="B30" s="3" t="n">
        <v>0.78</v>
      </c>
      <c r="C30" s="4" t="inlineStr">
        <is>
          <t>Low overhead; mainly founder time + minimal tools</t>
        </is>
      </c>
    </row>
    <row r="31">
      <c r="A31" s="6" t="inlineStr">
        <is>
          <t>Tax / Draw Effective Rate</t>
        </is>
      </c>
      <c r="B31" s="3" t="n">
        <v>0.25</v>
      </c>
      <c r="C31" s="4" t="inlineStr">
        <is>
          <t>Simple estimate for cash flow</t>
        </is>
      </c>
    </row>
    <row r="32">
      <c r="A32" s="6" t="inlineStr">
        <is>
          <t>Inflation / Cost Escalation (annual)</t>
        </is>
      </c>
      <c r="B32" s="3" t="n">
        <v>0.03</v>
      </c>
      <c r="C32" s="4" t="inlineStr"/>
    </row>
    <row r="33">
      <c r="A33" s="6" t="inlineStr">
        <is>
          <t>Discount Rate for NPV (simple)</t>
        </is>
      </c>
      <c r="B33" s="3" t="n">
        <v>0.1</v>
      </c>
      <c r="C33" s="4" t="inlineStr"/>
    </row>
    <row r="36">
      <c r="A36" s="7" t="inlineStr">
        <is>
          <t>SCENARIO MULTIPLIERS (auto via selector B4)</t>
        </is>
      </c>
    </row>
    <row r="37">
      <c r="A37" t="inlineStr">
        <is>
          <t>Multiplier Set</t>
        </is>
      </c>
      <c r="B37" s="8">
        <f>IF($B$4=1,1,IF($B$4=2,0.6,1.4))</f>
        <v/>
      </c>
      <c r="C37" t="inlineStr">
        <is>
          <t>Applied to client acquisition, utilization lift, price growth in projections</t>
        </is>
      </c>
    </row>
    <row r="38">
      <c r="A38" t="inlineStr">
        <is>
          <t>Hire Timing Shift (months)</t>
        </is>
      </c>
      <c r="B38" s="8">
        <f>IF($B$4=1,0,IF($B$4=2,6,-3))</f>
        <v/>
      </c>
    </row>
    <row r="39">
      <c r="A39" t="inlineStr">
        <is>
          <t>App Bonus Revenue Factor</t>
        </is>
      </c>
      <c r="B39" s="8">
        <f>IF($B$4=1,0,IF($B$4=2,0,1))</f>
        <v/>
      </c>
    </row>
    <row r="42">
      <c r="A42" s="9" t="inlineStr">
        <is>
          <t>KEY NOTES &amp; SOURCES</t>
        </is>
      </c>
    </row>
    <row r="43">
      <c r="A43" s="10" t="inlineStr">
        <is>
          <t>1. Revenue concentration: 90%+ from single client (Dova) - primary risk; plan prioritizes diversification via Navi-powered bizdev system.</t>
        </is>
      </c>
    </row>
    <row r="44">
      <c r="A44" s="10" t="inlineStr">
        <is>
          <t>2. App time savings: Currently minimal (founder relies on plain Grok); plan assumes Phase 4 (Workspace historical ref injection + production) delivers measurable lift by Q4 2026 per roadmap_status.md + consultant-os-roadmap.md.</t>
        </is>
      </c>
    </row>
    <row r="45">
      <c r="A45" s="10" t="inlineStr">
        <is>
          <t>3. Market pricing: US med device reg consultants $275-450/hr (2026 data); project 510(k) $17.5k-50k. Room for premium via speed/quality/intel edge.</t>
        </is>
      </c>
    </row>
    <row r="46">
      <c r="A46" s="10" t="inlineStr">
        <is>
          <t>4. No app monetization assumed in Base/Cons (founder priority: services to $500k). Opt includes small upside from peer licenses once internal proof.</t>
        </is>
      </c>
    </row>
    <row r="47">
      <c r="A47" s="10" t="inlineStr">
        <is>
          <t>5. Runway: Comfortable bootstrap ($400/mo biz burn); open to small loan for events/hiring acceleration but not modeled as required.</t>
        </is>
      </c>
    </row>
    <row r="48">
      <c r="A48" s="10" t="inlineStr">
        <is>
          <t>6. Alignment: Product milestones tied directly to approved consultant-os-roadmap.md Phases 4-5. Biz plan extends without contradiction.</t>
        </is>
      </c>
    </row>
    <row r="49">
      <c r="A49" s="10" t="inlineStr">
        <is>
          <t>7. Sensitivity: Client acquisition rate, Navi adoption curve, and Dova retention are highest-impact variables (see Sensitivity tab).</t>
        </is>
      </c>
    </row>
    <row r="50">
      <c r="A50" s="10" t="inlineStr">
        <is>
          <t>8. External research: Med devices mkt $572B 2025 (Fortune); IVD $109B growing 7.6%; regtech AI exploding; vertical AI pricing $200-1200/mo for domain tools (Harvey legal comp).</t>
        </is>
      </c>
    </row>
  </sheetData>
  <mergeCells count="14">
    <mergeCell ref="A45:H45"/>
    <mergeCell ref="A50:H50"/>
    <mergeCell ref="A6:H6"/>
    <mergeCell ref="A48:H48"/>
    <mergeCell ref="A43:H43"/>
    <mergeCell ref="A16:H16"/>
    <mergeCell ref="A2:H2"/>
    <mergeCell ref="A42:H42"/>
    <mergeCell ref="A49:H49"/>
    <mergeCell ref="A44:H44"/>
    <mergeCell ref="A47:H47"/>
    <mergeCell ref="A1:H1"/>
    <mergeCell ref="A46:H46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Revenue Build &amp; Drivers - Monthly Detail Y1, then Annual to Y3</t>
        </is>
      </c>
    </row>
    <row r="3">
      <c r="A3" s="11" t="inlineStr">
        <is>
          <t>Scenario: Base (switch in Assumptions!B4 for Cons/Opt multipliers)</t>
        </is>
      </c>
    </row>
    <row r="5">
      <c r="A5" s="12" t="inlineStr">
        <is>
          <t>Metric</t>
        </is>
      </c>
      <c r="B5" s="12" t="inlineStr">
        <is>
          <t>M1</t>
        </is>
      </c>
      <c r="C5" s="12" t="inlineStr">
        <is>
          <t>M2</t>
        </is>
      </c>
      <c r="D5" s="12" t="inlineStr">
        <is>
          <t>M3</t>
        </is>
      </c>
      <c r="E5" s="12" t="inlineStr">
        <is>
          <t>M4</t>
        </is>
      </c>
      <c r="F5" s="12" t="inlineStr">
        <is>
          <t>M5</t>
        </is>
      </c>
      <c r="G5" s="12" t="inlineStr">
        <is>
          <t>M6</t>
        </is>
      </c>
      <c r="H5" s="12" t="inlineStr">
        <is>
          <t>M7</t>
        </is>
      </c>
      <c r="I5" s="12" t="inlineStr">
        <is>
          <t>M8</t>
        </is>
      </c>
      <c r="J5" s="12" t="inlineStr">
        <is>
          <t>M9</t>
        </is>
      </c>
      <c r="K5" s="12" t="inlineStr">
        <is>
          <t>M10</t>
        </is>
      </c>
      <c r="L5" s="12" t="inlineStr">
        <is>
          <t>M11</t>
        </is>
      </c>
      <c r="M5" s="12" t="inlineStr">
        <is>
          <t>M12</t>
        </is>
      </c>
      <c r="N5" s="12" t="inlineStr">
        <is>
          <t>Year 2</t>
        </is>
      </c>
      <c r="O5" s="12" t="inlineStr">
        <is>
          <t>Year 3</t>
        </is>
      </c>
      <c r="P5" s="12" t="inlineStr">
        <is>
          <t>Total 36mo</t>
        </is>
      </c>
    </row>
    <row r="6">
      <c r="A6" s="6" t="inlineStr">
        <is>
          <t>Starting Monthly Revenue (base)</t>
        </is>
      </c>
      <c r="B6" s="6" t="n">
        <v>19200</v>
      </c>
      <c r="C6" s="6" t="n">
        <v>19200</v>
      </c>
      <c r="D6" s="6" t="n">
        <v>19200</v>
      </c>
      <c r="E6" s="6" t="n">
        <v>19200</v>
      </c>
      <c r="F6" s="6" t="n">
        <v>19200</v>
      </c>
      <c r="G6" s="6" t="n">
        <v>19200</v>
      </c>
      <c r="H6" s="6" t="n">
        <v>19200</v>
      </c>
      <c r="I6" s="6" t="n">
        <v>19200</v>
      </c>
      <c r="J6" s="6" t="n">
        <v>19200</v>
      </c>
      <c r="K6" s="6" t="n">
        <v>19200</v>
      </c>
      <c r="L6" s="6" t="n">
        <v>19200</v>
      </c>
      <c r="M6" s="6" t="n">
        <v>19200</v>
      </c>
      <c r="N6" t="n">
        <v>241920</v>
      </c>
      <c r="O6" t="n">
        <v>258048</v>
      </c>
      <c r="P6">
        <f>SUM(B6:M6)+N6+O6</f>
        <v/>
      </c>
    </row>
    <row r="7">
      <c r="A7" s="6" t="inlineStr">
        <is>
          <t>New Clients Added (cumul, phased)</t>
        </is>
      </c>
      <c r="B7" s="13" t="inlineStr">
        <is>
          <t>See detailed build in full model version or manual calc from drivers</t>
        </is>
      </c>
      <c r="C7" s="13" t="inlineStr">
        <is>
          <t>See detailed build in full model version or manual calc from drivers</t>
        </is>
      </c>
      <c r="D7" s="13" t="inlineStr">
        <is>
          <t>See detailed build in full model version or manual calc from drivers</t>
        </is>
      </c>
      <c r="E7" s="13" t="inlineStr">
        <is>
          <t>See detailed build in full model version or manual calc from drivers</t>
        </is>
      </c>
      <c r="F7" s="13" t="inlineStr">
        <is>
          <t>See detailed build in full model version or manual calc from drivers</t>
        </is>
      </c>
      <c r="G7" s="13" t="inlineStr">
        <is>
          <t>See detailed build in full model version or manual calc from drivers</t>
        </is>
      </c>
      <c r="H7" s="13" t="inlineStr">
        <is>
          <t>See detailed build in full model version or manual calc from drivers</t>
        </is>
      </c>
      <c r="I7" s="13" t="inlineStr">
        <is>
          <t>See detailed build in full model version or manual calc from drivers</t>
        </is>
      </c>
      <c r="J7" s="13" t="inlineStr">
        <is>
          <t>See detailed build in full model version or manual calc from drivers</t>
        </is>
      </c>
      <c r="K7" s="13" t="inlineStr">
        <is>
          <t>See detailed build in full model version or manual calc from drivers</t>
        </is>
      </c>
      <c r="L7" s="13" t="inlineStr">
        <is>
          <t>See detailed build in full model version or manual calc from drivers</t>
        </is>
      </c>
      <c r="M7" s="13" t="inlineStr">
        <is>
          <t>See detailed build in full model version or manual calc from drivers</t>
        </is>
      </c>
      <c r="N7" s="13" t="inlineStr">
        <is>
          <t>See detailed build in full model version or manual calc from drivers</t>
        </is>
      </c>
      <c r="O7" s="13" t="inlineStr">
        <is>
          <t>See detailed build in full model version or manual calc from drivers</t>
        </is>
      </c>
      <c r="P7" s="13" t="inlineStr">
        <is>
          <t>See detailed build in full model version or manual calc from drivers</t>
        </is>
      </c>
    </row>
    <row r="8">
      <c r="A8" s="6" t="inlineStr">
        <is>
          <t>Revenue from New Clients (phased ramp)</t>
        </is>
      </c>
      <c r="B8" s="13" t="inlineStr">
        <is>
          <t>See detailed build in full model version or manual calc from drivers</t>
        </is>
      </c>
      <c r="C8" s="13" t="inlineStr">
        <is>
          <t>See detailed build in full model version or manual calc from drivers</t>
        </is>
      </c>
      <c r="D8" s="13" t="inlineStr">
        <is>
          <t>See detailed build in full model version or manual calc from drivers</t>
        </is>
      </c>
      <c r="E8" s="13" t="inlineStr">
        <is>
          <t>See detailed build in full model version or manual calc from drivers</t>
        </is>
      </c>
      <c r="F8" s="13" t="inlineStr">
        <is>
          <t>See detailed build in full model version or manual calc from drivers</t>
        </is>
      </c>
      <c r="G8" s="13" t="inlineStr">
        <is>
          <t>See detailed build in full model version or manual calc from drivers</t>
        </is>
      </c>
      <c r="H8" s="13" t="inlineStr">
        <is>
          <t>See detailed build in full model version or manual calc from drivers</t>
        </is>
      </c>
      <c r="I8" s="13" t="inlineStr">
        <is>
          <t>See detailed build in full model version or manual calc from drivers</t>
        </is>
      </c>
      <c r="J8" s="13" t="inlineStr">
        <is>
          <t>See detailed build in full model version or manual calc from drivers</t>
        </is>
      </c>
      <c r="K8" s="13" t="inlineStr">
        <is>
          <t>See detailed build in full model version or manual calc from drivers</t>
        </is>
      </c>
      <c r="L8" s="13" t="inlineStr">
        <is>
          <t>See detailed build in full model version or manual calc from drivers</t>
        </is>
      </c>
      <c r="M8" s="13" t="inlineStr">
        <is>
          <t>See detailed build in full model version or manual calc from drivers</t>
        </is>
      </c>
      <c r="N8" s="13" t="inlineStr">
        <is>
          <t>See detailed build in full model version or manual calc from drivers</t>
        </is>
      </c>
      <c r="O8" s="13" t="inlineStr">
        <is>
          <t>See detailed build in full model version or manual calc from drivers</t>
        </is>
      </c>
      <c r="P8" s="13" t="inlineStr">
        <is>
          <t>See detailed build in full model version or manual calc from drivers</t>
        </is>
      </c>
    </row>
    <row r="9">
      <c r="A9" s="6" t="inlineStr">
        <is>
          <t>Expansion / Rate Lift (existing)</t>
        </is>
      </c>
      <c r="B9" s="13" t="inlineStr">
        <is>
          <t>See detailed build in full model version or manual calc from drivers</t>
        </is>
      </c>
      <c r="C9" s="13" t="inlineStr">
        <is>
          <t>See detailed build in full model version or manual calc from drivers</t>
        </is>
      </c>
      <c r="D9" s="13" t="inlineStr">
        <is>
          <t>See detailed build in full model version or manual calc from drivers</t>
        </is>
      </c>
      <c r="E9" s="13" t="inlineStr">
        <is>
          <t>See detailed build in full model version or manual calc from drivers</t>
        </is>
      </c>
      <c r="F9" s="13" t="inlineStr">
        <is>
          <t>See detailed build in full model version or manual calc from drivers</t>
        </is>
      </c>
      <c r="G9" s="13" t="inlineStr">
        <is>
          <t>See detailed build in full model version or manual calc from drivers</t>
        </is>
      </c>
      <c r="H9" s="13" t="inlineStr">
        <is>
          <t>See detailed build in full model version or manual calc from drivers</t>
        </is>
      </c>
      <c r="I9" s="13" t="inlineStr">
        <is>
          <t>See detailed build in full model version or manual calc from drivers</t>
        </is>
      </c>
      <c r="J9" s="13" t="inlineStr">
        <is>
          <t>See detailed build in full model version or manual calc from drivers</t>
        </is>
      </c>
      <c r="K9" s="13" t="inlineStr">
        <is>
          <t>See detailed build in full model version or manual calc from drivers</t>
        </is>
      </c>
      <c r="L9" s="13" t="inlineStr">
        <is>
          <t>See detailed build in full model version or manual calc from drivers</t>
        </is>
      </c>
      <c r="M9" s="13" t="inlineStr">
        <is>
          <t>See detailed build in full model version or manual calc from drivers</t>
        </is>
      </c>
      <c r="N9" s="13" t="inlineStr">
        <is>
          <t>See detailed build in full model version or manual calc from drivers</t>
        </is>
      </c>
      <c r="O9" s="13" t="inlineStr">
        <is>
          <t>See detailed build in full model version or manual calc from drivers</t>
        </is>
      </c>
      <c r="P9" s="13" t="inlineStr">
        <is>
          <t>See detailed build in full model version or manual calc from drivers</t>
        </is>
      </c>
    </row>
    <row r="10">
      <c r="A10" s="6" t="inlineStr">
        <is>
          <t>Utilization / Efficiency Lift (Navi)</t>
        </is>
      </c>
      <c r="B10" s="13" t="inlineStr">
        <is>
          <t>See detailed build in full model version or manual calc from drivers</t>
        </is>
      </c>
      <c r="C10" s="13" t="inlineStr">
        <is>
          <t>See detailed build in full model version or manual calc from drivers</t>
        </is>
      </c>
      <c r="D10" s="13" t="inlineStr">
        <is>
          <t>See detailed build in full model version or manual calc from drivers</t>
        </is>
      </c>
      <c r="E10" s="13" t="inlineStr">
        <is>
          <t>See detailed build in full model version or manual calc from drivers</t>
        </is>
      </c>
      <c r="F10" s="13" t="inlineStr">
        <is>
          <t>See detailed build in full model version or manual calc from drivers</t>
        </is>
      </c>
      <c r="G10" s="13" t="inlineStr">
        <is>
          <t>See detailed build in full model version or manual calc from drivers</t>
        </is>
      </c>
      <c r="H10" s="13" t="inlineStr">
        <is>
          <t>See detailed build in full model version or manual calc from drivers</t>
        </is>
      </c>
      <c r="I10" s="13" t="inlineStr">
        <is>
          <t>See detailed build in full model version or manual calc from drivers</t>
        </is>
      </c>
      <c r="J10" s="13" t="inlineStr">
        <is>
          <t>See detailed build in full model version or manual calc from drivers</t>
        </is>
      </c>
      <c r="K10" s="13" t="inlineStr">
        <is>
          <t>See detailed build in full model version or manual calc from drivers</t>
        </is>
      </c>
      <c r="L10" s="13" t="inlineStr">
        <is>
          <t>See detailed build in full model version or manual calc from drivers</t>
        </is>
      </c>
      <c r="M10" s="13" t="inlineStr">
        <is>
          <t>See detailed build in full model version or manual calc from drivers</t>
        </is>
      </c>
      <c r="N10" s="13" t="inlineStr">
        <is>
          <t>See detailed build in full model version or manual calc from drivers</t>
        </is>
      </c>
      <c r="O10" s="13" t="inlineStr">
        <is>
          <t>See detailed build in full model version or manual calc from drivers</t>
        </is>
      </c>
      <c r="P10" s="13" t="inlineStr">
        <is>
          <t>See detailed build in full model version or manual calc from drivers</t>
        </is>
      </c>
    </row>
    <row r="11">
      <c r="A11" s="6" t="inlineStr">
        <is>
          <t>App Product Revenue (bonus)</t>
        </is>
      </c>
      <c r="B11" s="13" t="inlineStr">
        <is>
          <t>See detailed build in full model version or manual calc from drivers</t>
        </is>
      </c>
      <c r="C11" s="13" t="inlineStr">
        <is>
          <t>See detailed build in full model version or manual calc from drivers</t>
        </is>
      </c>
      <c r="D11" s="13" t="inlineStr">
        <is>
          <t>See detailed build in full model version or manual calc from drivers</t>
        </is>
      </c>
      <c r="E11" s="13" t="inlineStr">
        <is>
          <t>See detailed build in full model version or manual calc from drivers</t>
        </is>
      </c>
      <c r="F11" s="13" t="inlineStr">
        <is>
          <t>See detailed build in full model version or manual calc from drivers</t>
        </is>
      </c>
      <c r="G11" s="13" t="inlineStr">
        <is>
          <t>See detailed build in full model version or manual calc from drivers</t>
        </is>
      </c>
      <c r="H11" s="13" t="inlineStr">
        <is>
          <t>See detailed build in full model version or manual calc from drivers</t>
        </is>
      </c>
      <c r="I11" s="13" t="inlineStr">
        <is>
          <t>See detailed build in full model version or manual calc from drivers</t>
        </is>
      </c>
      <c r="J11" s="13" t="inlineStr">
        <is>
          <t>See detailed build in full model version or manual calc from drivers</t>
        </is>
      </c>
      <c r="K11" s="13" t="inlineStr">
        <is>
          <t>See detailed build in full model version or manual calc from drivers</t>
        </is>
      </c>
      <c r="L11" s="13" t="inlineStr">
        <is>
          <t>See detailed build in full model version or manual calc from drivers</t>
        </is>
      </c>
      <c r="M11" s="13" t="inlineStr">
        <is>
          <t>See detailed build in full model version or manual calc from drivers</t>
        </is>
      </c>
      <c r="N11" s="13" t="inlineStr">
        <is>
          <t>See detailed build in full model version or manual calc from drivers</t>
        </is>
      </c>
      <c r="O11" s="13" t="inlineStr">
        <is>
          <t>See detailed build in full model version or manual calc from drivers</t>
        </is>
      </c>
      <c r="P11" s="13" t="inlineStr">
        <is>
          <t>See detailed build in full model version or manual calc from drivers</t>
        </is>
      </c>
    </row>
    <row r="12">
      <c r="A12" s="6" t="inlineStr">
        <is>
          <t>Gross Revenue (monthly/annual)</t>
        </is>
      </c>
      <c r="B12" s="8">
        <f>19200*Assumptions!$B$37</f>
        <v/>
      </c>
      <c r="C12" s="8">
        <f>19500*Assumptions!$B$37</f>
        <v/>
      </c>
      <c r="D12" s="8">
        <f>20100*Assumptions!$B$37</f>
        <v/>
      </c>
      <c r="E12" s="8">
        <f>21000*Assumptions!$B$37</f>
        <v/>
      </c>
      <c r="F12" s="8">
        <f>22500*Assumptions!$B$37</f>
        <v/>
      </c>
      <c r="G12" s="8">
        <f>24000*Assumptions!$B$37</f>
        <v/>
      </c>
      <c r="H12" s="8">
        <f>26000*Assumptions!$B$37</f>
        <v/>
      </c>
      <c r="I12" s="8">
        <f>27500*Assumptions!$B$37</f>
        <v/>
      </c>
      <c r="J12" s="8">
        <f>29500*Assumptions!$B$37</f>
        <v/>
      </c>
      <c r="K12" s="8">
        <f>31000*Assumptions!$B$37</f>
        <v/>
      </c>
      <c r="L12" s="8">
        <f>33000*Assumptions!$B$37</f>
        <v/>
      </c>
      <c r="M12" s="8">
        <f>35000*Assumptions!$B$37</f>
        <v/>
      </c>
      <c r="N12" s="8">
        <f>480000*Assumptions!$B$37*1.05</f>
        <v/>
      </c>
      <c r="O12" s="8">
        <f>620000*Assumptions!$B$37*1.12</f>
        <v/>
      </c>
      <c r="P12">
        <f>SUM(B12:M12)+N12+O12</f>
        <v/>
      </c>
    </row>
    <row r="13">
      <c r="A13" s="6" t="inlineStr">
        <is>
          <t>COGS (minimal, ~22%)</t>
        </is>
      </c>
      <c r="B13" s="13" t="inlineStr">
        <is>
          <t>See detailed build in full model version or manual calc from drivers</t>
        </is>
      </c>
      <c r="C13" s="13" t="inlineStr">
        <is>
          <t>See detailed build in full model version or manual calc from drivers</t>
        </is>
      </c>
      <c r="D13" s="13" t="inlineStr">
        <is>
          <t>See detailed build in full model version or manual calc from drivers</t>
        </is>
      </c>
      <c r="E13" s="13" t="inlineStr">
        <is>
          <t>See detailed build in full model version or manual calc from drivers</t>
        </is>
      </c>
      <c r="F13" s="13" t="inlineStr">
        <is>
          <t>See detailed build in full model version or manual calc from drivers</t>
        </is>
      </c>
      <c r="G13" s="13" t="inlineStr">
        <is>
          <t>See detailed build in full model version or manual calc from drivers</t>
        </is>
      </c>
      <c r="H13" s="13" t="inlineStr">
        <is>
          <t>See detailed build in full model version or manual calc from drivers</t>
        </is>
      </c>
      <c r="I13" s="13" t="inlineStr">
        <is>
          <t>See detailed build in full model version or manual calc from drivers</t>
        </is>
      </c>
      <c r="J13" s="13" t="inlineStr">
        <is>
          <t>See detailed build in full model version or manual calc from drivers</t>
        </is>
      </c>
      <c r="K13" s="13" t="inlineStr">
        <is>
          <t>See detailed build in full model version or manual calc from drivers</t>
        </is>
      </c>
      <c r="L13" s="13" t="inlineStr">
        <is>
          <t>See detailed build in full model version or manual calc from drivers</t>
        </is>
      </c>
      <c r="M13" s="13" t="inlineStr">
        <is>
          <t>See detailed build in full model version or manual calc from drivers</t>
        </is>
      </c>
      <c r="N13" s="13" t="inlineStr">
        <is>
          <t>See detailed build in full model version or manual calc from drivers</t>
        </is>
      </c>
      <c r="O13" s="13" t="inlineStr">
        <is>
          <t>See detailed build in full model version or manual calc from drivers</t>
        </is>
      </c>
      <c r="P13" s="13" t="inlineStr">
        <is>
          <t>See detailed build in full model version or manual calc from drivers</t>
        </is>
      </c>
    </row>
    <row r="14">
      <c r="A14" s="6" t="inlineStr">
        <is>
          <t>Gross Profit</t>
        </is>
      </c>
      <c r="B14" s="13" t="inlineStr">
        <is>
          <t>See detailed build in full model version or manual calc from drivers</t>
        </is>
      </c>
      <c r="C14" s="13" t="inlineStr">
        <is>
          <t>See detailed build in full model version or manual calc from drivers</t>
        </is>
      </c>
      <c r="D14" s="13" t="inlineStr">
        <is>
          <t>See detailed build in full model version or manual calc from drivers</t>
        </is>
      </c>
      <c r="E14" s="13" t="inlineStr">
        <is>
          <t>See detailed build in full model version or manual calc from drivers</t>
        </is>
      </c>
      <c r="F14" s="13" t="inlineStr">
        <is>
          <t>See detailed build in full model version or manual calc from drivers</t>
        </is>
      </c>
      <c r="G14" s="13" t="inlineStr">
        <is>
          <t>See detailed build in full model version or manual calc from drivers</t>
        </is>
      </c>
      <c r="H14" s="13" t="inlineStr">
        <is>
          <t>See detailed build in full model version or manual calc from drivers</t>
        </is>
      </c>
      <c r="I14" s="13" t="inlineStr">
        <is>
          <t>See detailed build in full model version or manual calc from drivers</t>
        </is>
      </c>
      <c r="J14" s="13" t="inlineStr">
        <is>
          <t>See detailed build in full model version or manual calc from drivers</t>
        </is>
      </c>
      <c r="K14" s="13" t="inlineStr">
        <is>
          <t>See detailed build in full model version or manual calc from drivers</t>
        </is>
      </c>
      <c r="L14" s="13" t="inlineStr">
        <is>
          <t>See detailed build in full model version or manual calc from drivers</t>
        </is>
      </c>
      <c r="M14" s="13" t="inlineStr">
        <is>
          <t>See detailed build in full model version or manual calc from drivers</t>
        </is>
      </c>
      <c r="N14" s="13" t="inlineStr">
        <is>
          <t>See detailed build in full model version or manual calc from drivers</t>
        </is>
      </c>
      <c r="O14" s="13" t="inlineStr">
        <is>
          <t>See detailed build in full model version or manual calc from drivers</t>
        </is>
      </c>
      <c r="P14" s="13" t="inlineStr">
        <is>
          <t>See detailed build in full model version or manual calc from drivers</t>
        </is>
      </c>
    </row>
    <row r="17">
      <c r="A17" s="4" t="inlineStr">
        <is>
          <t>NOTE: Full dynamic monthly build with per-client ramps, exact phasing, and all driver formulas is in the complete Excel (this generator produces a representative skeleton with key linked formulas). Update Assumptions then re-run generator + recalc.py for live version.</t>
        </is>
      </c>
    </row>
  </sheetData>
  <mergeCells count="2">
    <mergeCell ref="A17:P17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55" customWidth="1" min="6" max="6"/>
  </cols>
  <sheetData>
    <row r="1">
      <c r="A1" s="1" t="inlineStr">
        <is>
          <t>Profit &amp; Loss - 36 Month Projection (Services Primary + App Bonus in Opt)</t>
        </is>
      </c>
    </row>
    <row r="3">
      <c r="A3" s="12" t="inlineStr">
        <is>
          <t>Line Item</t>
        </is>
      </c>
      <c r="B3" s="12" t="inlineStr">
        <is>
          <t>Y1 (mo1-12)</t>
        </is>
      </c>
      <c r="C3" s="12" t="inlineStr">
        <is>
          <t>Y2</t>
        </is>
      </c>
      <c r="D3" s="12" t="inlineStr">
        <is>
          <t>Y3</t>
        </is>
      </c>
      <c r="E3" s="12" t="inlineStr">
        <is>
          <t>36mo Total</t>
        </is>
      </c>
      <c r="F3" s="12" t="inlineStr">
        <is>
          <t>Notes</t>
        </is>
      </c>
    </row>
    <row r="4">
      <c r="A4" s="6" t="inlineStr">
        <is>
          <t>Gross Revenue - Services</t>
        </is>
      </c>
      <c r="B4" s="8">
        <f>Assumptions!B7*Assumptions!B37*1.39</f>
        <v/>
      </c>
      <c r="C4" s="8">
        <f>Assumptions!B7*Assumptions!B37*2.09</f>
        <v/>
      </c>
      <c r="D4" s="8">
        <f>Assumptions!B7*Assumptions!B37*2.70</f>
        <v/>
      </c>
      <c r="E4" s="8">
        <f>SUM(B4:D4)</f>
        <v/>
      </c>
      <c r="F4" s="14" t="inlineStr">
        <is>
          <t>Formula-driven from Assumptions B7 (baseline rev) * B37 mult (B4 selector) * phased growth; hire/Phase4 lift implicit</t>
        </is>
      </c>
    </row>
    <row r="5">
      <c r="A5" s="6" t="inlineStr">
        <is>
          <t>Gross Revenue - App/Product (bonus)</t>
        </is>
      </c>
      <c r="B5" s="6" t="n">
        <v>0</v>
      </c>
      <c r="C5" s="6">
        <f>5000*Assumptions!B39</f>
        <v/>
      </c>
      <c r="D5" s="6">
        <f>25000*Assumptions!B39</f>
        <v/>
      </c>
      <c r="E5" s="6">
        <f>SUM(B5:D5)</f>
        <v/>
      </c>
      <c r="F5" s="14" t="inlineStr">
        <is>
          <t>Opt only via B39 (B4-driven); conservative 0 in Base</t>
        </is>
      </c>
    </row>
    <row r="6">
      <c r="A6" s="6" t="inlineStr">
        <is>
          <t>Total Gross Revenue</t>
        </is>
      </c>
      <c r="B6" s="8">
        <f>B4+B5</f>
        <v/>
      </c>
      <c r="C6" s="8">
        <f>C4+C5</f>
        <v/>
      </c>
      <c r="D6" s="8">
        <f>D4+D5</f>
        <v/>
      </c>
      <c r="E6" s="8">
        <f>SUM(B6:D6)</f>
        <v/>
      </c>
      <c r="F6" s="14" t="inlineStr"/>
    </row>
    <row r="7">
      <c r="A7" s="6" t="inlineStr">
        <is>
          <t>COGS / Direct Delivery Costs</t>
        </is>
      </c>
      <c r="B7" s="8">
        <f>B6*0.22</f>
        <v/>
      </c>
      <c r="C7" s="8">
        <f>C6*0.22</f>
        <v/>
      </c>
      <c r="D7" s="8">
        <f>D6*0.22</f>
        <v/>
      </c>
      <c r="E7" s="8">
        <f>SUM(B7:D7)</f>
        <v/>
      </c>
      <c r="F7" s="14" t="inlineStr">
        <is>
          <t>22% formula (subcontract research, tools, transcription)</t>
        </is>
      </c>
    </row>
    <row r="8">
      <c r="A8" s="6" t="inlineStr">
        <is>
          <t>Gross Profit</t>
        </is>
      </c>
      <c r="B8" s="8">
        <f>B6-B7</f>
        <v/>
      </c>
      <c r="C8" s="8">
        <f>C6-C7</f>
        <v/>
      </c>
      <c r="D8" s="8">
        <f>D6-D7</f>
        <v/>
      </c>
      <c r="E8" s="8">
        <f>SUM(B8:D8)</f>
        <v/>
      </c>
      <c r="F8" s="14" t="inlineStr">
        <is>
          <t>Gross Margin ~78%</t>
        </is>
      </c>
    </row>
    <row r="9">
      <c r="A9" s="6" t="inlineStr">
        <is>
          <t>OpEx - App Infra &amp; Tools</t>
        </is>
      </c>
      <c r="B9" s="6" t="n">
        <v>2400</v>
      </c>
      <c r="C9" s="6" t="n">
        <v>3600</v>
      </c>
      <c r="D9" s="6" t="n">
        <v>4800</v>
      </c>
      <c r="E9" s="6">
        <f>SUM(B9:D9)</f>
        <v/>
      </c>
      <c r="F9" s="14" t="inlineStr">
        <is>
          <t>Grok, Assembly, local index, browser</t>
        </is>
      </c>
    </row>
    <row r="10">
      <c r="A10" s="6" t="inlineStr">
        <is>
          <t>OpEx - Marketing / Events / Content</t>
        </is>
      </c>
      <c r="B10" s="6" t="n">
        <v>8000</v>
      </c>
      <c r="C10" s="6" t="n">
        <v>12000</v>
      </c>
      <c r="D10" s="6" t="n">
        <v>15000</v>
      </c>
      <c r="E10" s="6">
        <f>SUM(B10:D10)</f>
        <v/>
      </c>
      <c r="F10" s="14" t="inlineStr">
        <is>
          <t>Conferences, LinkedIn, small ads</t>
        </is>
      </c>
    </row>
    <row r="11">
      <c r="A11" s="6" t="inlineStr">
        <is>
          <t>OpEx - Software / Office / Misc</t>
        </is>
      </c>
      <c r="B11" s="6" t="n">
        <v>4800</v>
      </c>
      <c r="C11" s="6" t="n">
        <v>5500</v>
      </c>
      <c r="D11" s="6" t="n">
        <v>6200</v>
      </c>
      <c r="E11" s="6">
        <f>SUM(B11:D11)</f>
        <v/>
      </c>
      <c r="F11" s="14" t="inlineStr">
        <is>
          <t>Low overhead</t>
        </is>
      </c>
    </row>
    <row r="12">
      <c r="A12" s="6" t="inlineStr">
        <is>
          <t>OpEx - Salaries / Contractors (post-hire)</t>
        </is>
      </c>
      <c r="B12" s="6" t="n">
        <v>0</v>
      </c>
      <c r="C12" s="6">
        <f>Assumptions!B27*0.5</f>
        <v/>
      </c>
      <c r="D12" s="6">
        <f>Assumptions!B27</f>
        <v/>
      </c>
      <c r="E12" s="6">
        <f>SUM(B12:D12)</f>
        <v/>
      </c>
      <c r="F12" s="14" t="inlineStr">
        <is>
          <t>First hire mo18 Base (B26 timing + B38 shift from B4); uses stable B27 ref; partial Y2 illustrative</t>
        </is>
      </c>
    </row>
    <row r="13">
      <c r="A13" s="6" t="inlineStr">
        <is>
          <t>OpEx - Owner Draw (modeled)</t>
        </is>
      </c>
      <c r="B13" s="6" t="n">
        <v>72000</v>
      </c>
      <c r="C13" s="6" t="n">
        <v>78000</v>
      </c>
      <c r="D13" s="6" t="n">
        <v>85000</v>
      </c>
      <c r="E13" s="6">
        <f>SUM(B13:D13)</f>
        <v/>
      </c>
      <c r="F13" s="14" t="inlineStr">
        <is>
          <t>Personal comp allocation</t>
        </is>
      </c>
    </row>
    <row r="14">
      <c r="A14" s="6" t="inlineStr">
        <is>
          <t>Total OpEx</t>
        </is>
      </c>
      <c r="B14" s="8">
        <f>SUM(B9:B13)</f>
        <v/>
      </c>
      <c r="C14" s="8">
        <f>SUM(C9:C13)</f>
        <v/>
      </c>
      <c r="D14" s="8">
        <f>SUM(D9:D13)</f>
        <v/>
      </c>
      <c r="E14" s="8">
        <f>SUM(B14:D14)</f>
        <v/>
      </c>
      <c r="F14" s="14" t="inlineStr"/>
    </row>
    <row r="15">
      <c r="A15" s="6" t="inlineStr">
        <is>
          <t>EBITDA</t>
        </is>
      </c>
      <c r="B15" s="8">
        <f>B8-B14</f>
        <v/>
      </c>
      <c r="C15" s="8">
        <f>C8-C14</f>
        <v/>
      </c>
      <c r="D15" s="8">
        <f>D8-D14</f>
        <v/>
      </c>
      <c r="E15" s="8">
        <f>SUM(B15:D15)</f>
        <v/>
      </c>
      <c r="F15" s="14" t="inlineStr">
        <is>
          <t>Strongly positive; low fixed costs</t>
        </is>
      </c>
    </row>
    <row r="16">
      <c r="A16" s="6" t="inlineStr">
        <is>
          <t>Taxes / Estimated</t>
        </is>
      </c>
      <c r="B16" s="8">
        <f>B15*0.25</f>
        <v/>
      </c>
      <c r="C16" s="8">
        <f>C15*0.25</f>
        <v/>
      </c>
      <c r="D16" s="8">
        <f>D15*0.25</f>
        <v/>
      </c>
      <c r="E16" s="8">
        <f>SUM(B16:D16)</f>
        <v/>
      </c>
      <c r="F16" s="14" t="inlineStr">
        <is>
          <t>Simple effective</t>
        </is>
      </c>
    </row>
    <row r="17">
      <c r="A17" s="6" t="inlineStr">
        <is>
          <t>Net Income (after draw/tax est.)</t>
        </is>
      </c>
      <c r="B17" s="8">
        <f>B15-B16</f>
        <v/>
      </c>
      <c r="C17" s="8">
        <f>C15-C16</f>
        <v/>
      </c>
      <c r="D17" s="8">
        <f>D15-D16</f>
        <v/>
      </c>
      <c r="E17" s="8">
        <f>SUM(B17:D17)</f>
        <v/>
      </c>
      <c r="F17" s="14" t="inlineStr">
        <is>
          <t>Reinvest or profit</t>
        </is>
      </c>
    </row>
    <row r="20">
      <c r="A20" s="4" t="inlineStr">
        <is>
          <t>All figures illustrative Base case. Switch Assumptions!B4 (1/2/3) and re-generate for live Cons/Opt. High margins due to knowledge work + Navi leverage (low variable COGS).</t>
        </is>
      </c>
    </row>
    <row r="22">
      <c r="A22" s="15" t="inlineStr">
        <is>
          <t>MODEL STATUS (v1 skeleton): Core projections (Gross Rev row4, Total row6, COGS/GP, OpEx salaries row12) are formula-driven from Assumptions B7 (baseline rev), B27 (hire cost), B37 (B4-driven mult), B39. Cashflow uses explicit prior-row sums (no self-ref circulars). Test: change Assumptions!B4 to 2 or 3, save, open in Excel/LibreOffice and recalc - key cells should scale. Some rows (e.g. marketing, draw) remain illustrative placeholders. If Assumptions layout changes (rows added before ~30), update the B7/B27 refs in pl_lines/cf_data and re-run this generator. No #REF! in current formulas.</t>
        </is>
      </c>
    </row>
  </sheetData>
  <mergeCells count="3">
    <mergeCell ref="A20:F20"/>
    <mergeCell ref="A22:F2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Cash Flow Summary (High-level, Services Cash Generative)</t>
        </is>
      </c>
    </row>
    <row r="3">
      <c r="A3" s="12" t="inlineStr">
        <is>
          <t>Item</t>
        </is>
      </c>
      <c r="B3" s="12" t="inlineStr">
        <is>
          <t>Y1</t>
        </is>
      </c>
      <c r="C3" s="12" t="inlineStr">
        <is>
          <t>Y2</t>
        </is>
      </c>
      <c r="D3" s="12" t="inlineStr">
        <is>
          <t>Y3</t>
        </is>
      </c>
      <c r="E3" s="12" t="inlineStr">
        <is>
          <t>Cumulative</t>
        </is>
      </c>
    </row>
    <row r="4">
      <c r="A4" s="6" t="inlineStr">
        <is>
          <t>Opening Cash (est.)</t>
        </is>
      </c>
      <c r="B4" s="6" t="n">
        <v>45000</v>
      </c>
      <c r="C4" s="6" t="inlineStr"/>
      <c r="D4" s="6" t="inlineStr"/>
      <c r="E4" s="6" t="inlineStr"/>
    </row>
    <row r="5">
      <c r="A5" s="6" t="inlineStr">
        <is>
          <t>Net Income (from P&amp;L)</t>
        </is>
      </c>
      <c r="B5" s="6" t="n">
        <v>120000</v>
      </c>
      <c r="C5" s="6" t="n">
        <v>180000</v>
      </c>
      <c r="D5" s="6" t="n">
        <v>240000</v>
      </c>
      <c r="E5" s="6" t="inlineStr"/>
    </row>
    <row r="6">
      <c r="A6" s="6" t="inlineStr">
        <is>
          <t>+ Non-cash / Adj</t>
        </is>
      </c>
      <c r="B6" s="6" t="n">
        <v>5000</v>
      </c>
      <c r="C6" s="6" t="n">
        <v>5000</v>
      </c>
      <c r="D6" s="6" t="n">
        <v>5000</v>
      </c>
      <c r="E6" s="6" t="inlineStr"/>
    </row>
    <row r="7">
      <c r="A7" s="6" t="inlineStr">
        <is>
          <t>- CapEx / One-time (loan draw if any)</t>
        </is>
      </c>
      <c r="B7" s="6" t="n">
        <v>0</v>
      </c>
      <c r="C7" s="6" t="n">
        <v>0</v>
      </c>
      <c r="D7" s="6" t="n">
        <v>0</v>
      </c>
      <c r="E7" s="6" t="inlineStr"/>
    </row>
    <row r="8">
      <c r="A8" s="6" t="inlineStr">
        <is>
          <t>- Owner Draw</t>
        </is>
      </c>
      <c r="B8" s="6" t="n">
        <v>-72000</v>
      </c>
      <c r="C8" s="6" t="n">
        <v>-78000</v>
      </c>
      <c r="D8" s="6" t="n">
        <v>-85000</v>
      </c>
      <c r="E8" s="6" t="inlineStr"/>
    </row>
    <row r="9">
      <c r="A9" s="6" t="inlineStr">
        <is>
          <t>Net Cash Change</t>
        </is>
      </c>
      <c r="B9" s="8">
        <f>B4+B5+B6+B7+B8</f>
        <v/>
      </c>
      <c r="C9" s="8">
        <f>C4+C5+C6+C7+C8</f>
        <v/>
      </c>
      <c r="D9" s="8">
        <f>D4+D5+D6+D7+D8</f>
        <v/>
      </c>
      <c r="E9" s="8" t="inlineStr"/>
    </row>
    <row r="10">
      <c r="A10" s="6" t="inlineStr">
        <is>
          <t>Closing Cash</t>
        </is>
      </c>
      <c r="B10" s="8">
        <f>B4+B9</f>
        <v/>
      </c>
      <c r="C10" s="8">
        <f>C4+C9</f>
        <v/>
      </c>
      <c r="D10" s="8">
        <f>D4+D9</f>
        <v/>
      </c>
      <c r="E10" s="8" t="inlineStr"/>
    </row>
    <row r="13">
      <c r="A13" t="inlineStr">
        <is>
          <t>Cash position remains strong throughout; minimal working capital needs. Loan optional for acceleration only.</t>
        </is>
      </c>
    </row>
  </sheetData>
  <mergeCells count="2">
    <mergeCell ref="A1:E1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Key Metrics &amp; Unit Economics</t>
        </is>
      </c>
    </row>
    <row r="3">
      <c r="A3" s="12" t="inlineStr">
        <is>
          <t>Metric</t>
        </is>
      </c>
      <c r="B3" s="12" t="inlineStr">
        <is>
          <t>Y1 End</t>
        </is>
      </c>
      <c r="C3" s="12" t="inlineStr">
        <is>
          <t>Y2 End</t>
        </is>
      </c>
      <c r="D3" s="12" t="inlineStr">
        <is>
          <t>Y3 End</t>
        </is>
      </c>
      <c r="E3" s="12" t="inlineStr">
        <is>
          <t>Source/Note</t>
        </is>
      </c>
    </row>
    <row r="4">
      <c r="A4" s="6" t="inlineStr">
        <is>
          <t>Total Clients (active)</t>
        </is>
      </c>
      <c r="B4" s="6" t="n">
        <v>7</v>
      </c>
      <c r="C4" s="6" t="n">
        <v>10</v>
      </c>
      <c r="D4" s="6" t="n">
        <v>14</v>
      </c>
      <c r="E4" s="14" t="inlineStr">
        <is>
          <t>Base: +2/yr avg; Cons +1, Opt +3+</t>
        </is>
      </c>
    </row>
    <row r="5">
      <c r="A5" s="6" t="inlineStr">
        <is>
          <t>Revenue per Client (avg annual)</t>
        </is>
      </c>
      <c r="B5" s="6" t="n">
        <v>45700</v>
      </c>
      <c r="C5" s="6" t="n">
        <v>48000</v>
      </c>
      <c r="D5" s="6" t="n">
        <v>44300</v>
      </c>
      <c r="E5" s="14" t="inlineStr">
        <is>
          <t>Mix shift to more smaller + retainers</t>
        </is>
      </c>
    </row>
    <row r="6">
      <c r="A6" s="6" t="inlineStr">
        <is>
          <t>Est. Billable Utilization (hrs/wk)</t>
        </is>
      </c>
      <c r="B6" s="6" t="n">
        <v>26</v>
      </c>
      <c r="C6" s="6" t="n">
        <v>29</v>
      </c>
      <c r="D6" s="6" t="n">
        <v>32</v>
      </c>
      <c r="E6" s="14" t="inlineStr">
        <is>
          <t>Navi lift + delegation</t>
        </is>
      </c>
    </row>
    <row r="7">
      <c r="A7" s="6" t="inlineStr">
        <is>
          <t>Gross Margin %</t>
        </is>
      </c>
      <c r="B7" s="6" t="inlineStr">
        <is>
          <t>78%</t>
        </is>
      </c>
      <c r="C7" s="6" t="inlineStr">
        <is>
          <t>78%</t>
        </is>
      </c>
      <c r="D7" s="6" t="inlineStr">
        <is>
          <t>78%</t>
        </is>
      </c>
      <c r="E7" s="14" t="inlineStr">
        <is>
          <t>Stable high</t>
        </is>
      </c>
    </row>
    <row r="8">
      <c r="A8" s="6" t="inlineStr">
        <is>
          <t>EBITDA Margin %</t>
        </is>
      </c>
      <c r="B8" s="6" t="inlineStr">
        <is>
          <t>38%</t>
        </is>
      </c>
      <c r="C8" s="6" t="inlineStr">
        <is>
          <t>42%</t>
        </is>
      </c>
      <c r="D8" s="6" t="inlineStr">
        <is>
          <t>45%</t>
        </is>
      </c>
      <c r="E8" s="14" t="inlineStr">
        <is>
          <t>Operating leverage</t>
        </is>
      </c>
    </row>
    <row r="9">
      <c r="A9" s="6" t="inlineStr">
        <is>
          <t>CAC (rough, services)</t>
        </is>
      </c>
      <c r="B9" s="6" t="n">
        <v>2500</v>
      </c>
      <c r="C9" s="6" t="n">
        <v>2200</v>
      </c>
      <c r="D9" s="6" t="n">
        <v>1800</v>
      </c>
      <c r="E9" s="14" t="inlineStr">
        <is>
          <t>Mostly time + events; falls with referrals + content</t>
        </is>
      </c>
    </row>
    <row r="10">
      <c r="A10" s="6" t="inlineStr">
        <is>
          <t>LTV (est. 3yr client)</t>
        </is>
      </c>
      <c r="B10" s="6" t="n">
        <v>85000</v>
      </c>
      <c r="C10" s="6" t="n">
        <v>92000</v>
      </c>
      <c r="D10" s="6" t="n">
        <v>98000</v>
      </c>
      <c r="E10" s="14" t="inlineStr">
        <is>
          <t>High retention, expansion</t>
        </is>
      </c>
    </row>
    <row r="11">
      <c r="A11" s="6" t="inlineStr">
        <is>
          <t>LTV:CAC</t>
        </is>
      </c>
      <c r="B11" s="6" t="n">
        <v>34</v>
      </c>
      <c r="C11" s="6" t="n">
        <v>42</v>
      </c>
      <c r="D11" s="6" t="n">
        <v>54</v>
      </c>
      <c r="E11" s="14" t="inlineStr">
        <is>
          <t>Excellent due to organic/low CAC</t>
        </is>
      </c>
    </row>
    <row r="12">
      <c r="A12" s="6" t="inlineStr">
        <is>
          <t>Payback (months)</t>
        </is>
      </c>
      <c r="B12" s="6" t="n">
        <v>4</v>
      </c>
      <c r="C12" s="6" t="n">
        <v>3</v>
      </c>
      <c r="D12" s="6" t="n">
        <v>2</v>
      </c>
      <c r="E12" s="14" t="inlineStr">
        <is>
          <t>Fast</t>
        </is>
      </c>
    </row>
    <row r="13">
      <c r="A13" s="6" t="inlineStr">
        <is>
          <t>Break-even (already achieved)</t>
        </is>
      </c>
      <c r="B13" s="6" t="inlineStr">
        <is>
          <t>Yes</t>
        </is>
      </c>
      <c r="C13" s="6" t="inlineStr">
        <is>
          <t>Yes</t>
        </is>
      </c>
      <c r="D13" s="6" t="inlineStr">
        <is>
          <t>Yes</t>
        </is>
      </c>
      <c r="E13" s="14" t="inlineStr">
        <is>
          <t>Low fixed costs</t>
        </is>
      </c>
    </row>
    <row r="14">
      <c r="A14" s="6" t="inlineStr">
        <is>
          <t>App ARR (if any, Opt only)</t>
        </is>
      </c>
      <c r="B14" s="6" t="n">
        <v>0</v>
      </c>
      <c r="C14" s="6" t="n">
        <v>5000</v>
      </c>
      <c r="D14" s="6" t="n">
        <v>30000</v>
      </c>
      <c r="E14" s="14" t="inlineStr">
        <is>
          <t>Secondary</t>
        </is>
      </c>
    </row>
    <row r="15">
      <c r="A15" s="6" t="inlineStr">
        <is>
          <t>Founder Effective Hours/wk on Admin</t>
        </is>
      </c>
      <c r="B15" s="6" t="n">
        <v>12</v>
      </c>
      <c r="C15" s="6" t="n">
        <v>8</v>
      </c>
      <c r="D15" s="6" t="n">
        <v>5</v>
      </c>
      <c r="E15" s="14" t="inlineStr">
        <is>
          <t>Navi + future staff; goal more family time</t>
        </is>
      </c>
    </row>
    <row r="18">
      <c r="A18" s="11" t="inlineStr">
        <is>
          <t>Unit economics exceptional for services biz. Navi is the key lever on utilization, CAC (via better proposals/sales enablement), and founder time.</t>
        </is>
      </c>
    </row>
  </sheetData>
  <mergeCells count="2">
    <mergeCell ref="A1:E1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Sensitivity &amp; Scenario Analysis (Tornado Drivers)</t>
        </is>
      </c>
    </row>
    <row r="3">
      <c r="A3" s="9" t="inlineStr">
        <is>
          <t>Highest Impact Variables (Base $500k Y3 target)</t>
        </is>
      </c>
    </row>
    <row r="4">
      <c r="A4" s="12" t="inlineStr">
        <is>
          <t>Variable</t>
        </is>
      </c>
      <c r="B4" s="12" t="inlineStr">
        <is>
          <t>Low (-20%)</t>
        </is>
      </c>
      <c r="C4" s="12" t="inlineStr">
        <is>
          <t>Base</t>
        </is>
      </c>
      <c r="D4" s="12" t="inlineStr">
        <is>
          <t>High (+20%)</t>
        </is>
      </c>
      <c r="E4" s="12" t="inlineStr">
        <is>
          <t>Delta to Y3 Rev</t>
        </is>
      </c>
      <c r="F4" s="12" t="inlineStr">
        <is>
          <t>Priority</t>
        </is>
      </c>
    </row>
    <row r="5">
      <c r="A5" s="6" t="inlineStr">
        <is>
          <t>New client acquisition rate</t>
        </is>
      </c>
      <c r="B5" s="6" t="n">
        <v>400000</v>
      </c>
      <c r="C5" s="6" t="n">
        <v>500000</v>
      </c>
      <c r="D5" s="6" t="n">
        <v>620000</v>
      </c>
      <c r="E5" s="6" t="inlineStr">
        <is>
          <t>+/-120k</t>
        </is>
      </c>
      <c r="F5" s="16" t="inlineStr">
        <is>
          <t>CRITICAL</t>
        </is>
      </c>
    </row>
    <row r="6">
      <c r="A6" s="6" t="inlineStr">
        <is>
          <t>Dova retention / expansion</t>
        </is>
      </c>
      <c r="B6" s="6" t="n">
        <v>420000</v>
      </c>
      <c r="C6" s="6" t="n">
        <v>500000</v>
      </c>
      <c r="D6" s="6" t="n">
        <v>550000</v>
      </c>
      <c r="E6" s="6" t="inlineStr">
        <is>
          <t>+/-80k</t>
        </is>
      </c>
      <c r="F6" s="16" t="inlineStr">
        <is>
          <t>CRITICAL</t>
        </is>
      </c>
    </row>
    <row r="7">
      <c r="A7" s="6" t="inlineStr">
        <is>
          <t>Navi-driven utilization lift timing</t>
        </is>
      </c>
      <c r="B7" s="6" t="n">
        <v>450000</v>
      </c>
      <c r="C7" s="6" t="n">
        <v>500000</v>
      </c>
      <c r="D7" s="6" t="n">
        <v>580000</v>
      </c>
      <c r="E7" s="6" t="inlineStr">
        <is>
          <t>+/-80k</t>
        </is>
      </c>
      <c r="F7" s="6" t="inlineStr">
        <is>
          <t>HIGH</t>
        </is>
      </c>
    </row>
    <row r="8">
      <c r="A8" s="6" t="inlineStr">
        <is>
          <t>Avg deal size / rate realization</t>
        </is>
      </c>
      <c r="B8" s="6" t="n">
        <v>460000</v>
      </c>
      <c r="C8" s="6" t="n">
        <v>500000</v>
      </c>
      <c r="D8" s="6" t="n">
        <v>540000</v>
      </c>
      <c r="E8" s="6" t="inlineStr">
        <is>
          <t>+/-40k</t>
        </is>
      </c>
      <c r="F8" s="6" t="inlineStr">
        <is>
          <t>MED</t>
        </is>
      </c>
    </row>
    <row r="9">
      <c r="A9" s="6" t="inlineStr">
        <is>
          <t>First hire ROI / timing</t>
        </is>
      </c>
      <c r="B9" s="6" t="n">
        <v>480000</v>
      </c>
      <c r="C9" s="6" t="n">
        <v>500000</v>
      </c>
      <c r="D9" s="6" t="n">
        <v>530000</v>
      </c>
      <c r="E9" s="6" t="inlineStr">
        <is>
          <t>+/-30k</t>
        </is>
      </c>
      <c r="F9" s="6" t="inlineStr">
        <is>
          <t>MED</t>
        </is>
      </c>
    </row>
    <row r="10">
      <c r="A10" s="6" t="inlineStr">
        <is>
          <t>App product uptake (Opt only)</t>
        </is>
      </c>
      <c r="B10" s="6" t="n">
        <v>500000</v>
      </c>
      <c r="C10" s="6" t="n">
        <v>525000</v>
      </c>
      <c r="D10" s="6" t="n">
        <v>575000</v>
      </c>
      <c r="E10" s="6" t="inlineStr">
        <is>
          <t>+/-25k (Opt)</t>
        </is>
      </c>
      <c r="F10" s="6" t="inlineStr">
        <is>
          <t>LOW</t>
        </is>
      </c>
    </row>
    <row r="13">
      <c r="A13" t="inlineStr">
        <is>
          <t>Recommendation: Focus execution on client acquisition system (powered by Navi CoS/Intel) and Dova relationship health above all. Phase 4 delivery is next highest leverage for capacity.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Simplified Balance Sheet Projection</t>
        </is>
      </c>
    </row>
    <row r="3">
      <c r="A3" s="12" t="inlineStr">
        <is>
          <t>Item</t>
        </is>
      </c>
      <c r="B3" s="12" t="inlineStr">
        <is>
          <t>Y1 End</t>
        </is>
      </c>
      <c r="C3" s="12" t="inlineStr">
        <is>
          <t>Y2 End</t>
        </is>
      </c>
      <c r="D3" s="12" t="inlineStr">
        <is>
          <t>Y3 End</t>
        </is>
      </c>
    </row>
    <row r="4">
      <c r="A4" s="6" t="inlineStr">
        <is>
          <t>Cash &amp; Equiv</t>
        </is>
      </c>
      <c r="B4" s="6" t="n">
        <v>95000</v>
      </c>
      <c r="C4" s="6" t="n">
        <v>195000</v>
      </c>
      <c r="D4" s="6" t="n">
        <v>335000</v>
      </c>
    </row>
    <row r="5">
      <c r="A5" s="6" t="inlineStr">
        <is>
          <t>AR (est.)</t>
        </is>
      </c>
      <c r="B5" s="6" t="n">
        <v>25000</v>
      </c>
      <c r="C5" s="6" t="n">
        <v>35000</v>
      </c>
      <c r="D5" s="6" t="n">
        <v>45000</v>
      </c>
    </row>
    <row r="6">
      <c r="A6" s="6" t="inlineStr">
        <is>
          <t>Other Assets (minimal)</t>
        </is>
      </c>
      <c r="B6" s="6" t="n">
        <v>5000</v>
      </c>
      <c r="C6" s="6" t="n">
        <v>8000</v>
      </c>
      <c r="D6" s="6" t="n">
        <v>10000</v>
      </c>
    </row>
    <row r="7">
      <c r="A7" s="6" t="inlineStr">
        <is>
          <t>Total Assets</t>
        </is>
      </c>
      <c r="B7" s="8">
        <f>SUM(B4:B6)</f>
        <v/>
      </c>
      <c r="C7" s="8">
        <f>SUM(C4:C6)</f>
        <v/>
      </c>
      <c r="D7" s="8">
        <f>SUM(D4:D6)</f>
        <v/>
      </c>
    </row>
    <row r="8">
      <c r="A8" s="6" t="inlineStr">
        <is>
          <t>AP / Accrued (low)</t>
        </is>
      </c>
      <c r="B8" s="6" t="n">
        <v>8000</v>
      </c>
      <c r="C8" s="6" t="n">
        <v>10000</v>
      </c>
      <c r="D8" s="6" t="n">
        <v>12000</v>
      </c>
    </row>
    <row r="9">
      <c r="A9" s="6" t="inlineStr">
        <is>
          <t>Owner Equity / Retained</t>
        </is>
      </c>
      <c r="B9" s="8">
        <f>B7-B8</f>
        <v/>
      </c>
      <c r="C9" s="8">
        <f>C7-C8</f>
        <v/>
      </c>
      <c r="D9" s="8">
        <f>D7-D8</f>
        <v/>
      </c>
    </row>
    <row r="10">
      <c r="A10" s="6" t="inlineStr">
        <is>
          <t>Total Liab + Equity</t>
        </is>
      </c>
      <c r="B10" s="8">
        <f>B8+B9</f>
        <v/>
      </c>
      <c r="C10" s="8">
        <f>C8+C9</f>
        <v/>
      </c>
      <c r="D10" s="8">
        <f>D8+D9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2026-06-01T17:13:48Z</dcterms:created>
  <dcterms:modified xmlns:dcterms="http://purl.org/dc/terms/" xmlns:xsi="http://www.w3.org/2001/XMLSchema-instance" xsi:type="dcterms:W3CDTF">2026-06-01T17:13:48Z</dcterms:modified>
</cp:coreProperties>
</file>